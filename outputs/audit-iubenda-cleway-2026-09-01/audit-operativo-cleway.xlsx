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claudioperroni/Documents/ift/minisiti/cleway-brand/outputs/audit-iubenda-cleway-2026-09-01/"/>
    </mc:Choice>
  </mc:AlternateContent>
  <xr:revisionPtr revIDLastSave="0" documentId="13_ncr:1_{FD95284D-738B-9E48-A06F-5B3E643A347A}" xr6:coauthVersionLast="47" xr6:coauthVersionMax="47" xr10:uidLastSave="{00000000-0000-0000-0000-000000000000}"/>
  <bookViews>
    <workbookView xWindow="0" yWindow="600" windowWidth="33600" windowHeight="18520" xr2:uid="{00000000-000D-0000-FFFF-FFFF00000000}"/>
  </bookViews>
  <sheets>
    <sheet name="Audit operativ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C4" i="1"/>
  <c r="B4" i="1"/>
  <c r="A4" i="1"/>
</calcChain>
</file>

<file path=xl/sharedStrings.xml><?xml version="1.0" encoding="utf-8"?>
<sst xmlns="http://schemas.openxmlformats.org/spreadsheetml/2006/main" count="124" uniqueCount="98">
  <si>
    <t>Audit operativo privacy, cookie e accessibilità — cleway.com</t>
  </si>
  <si>
    <t>Verifica eseguita il 01/09/2026 sul sito pubblico e sull'implementazione disponibile nel progetto.</t>
  </si>
  <si>
    <t>Totale voci</t>
  </si>
  <si>
    <t>Priorità alta</t>
  </si>
  <si>
    <t>Da fare</t>
  </si>
  <si>
    <t>Risolte / OK</t>
  </si>
  <si>
    <t>ID</t>
  </si>
  <si>
    <t>Punto / rilievo</t>
  </si>
  <si>
    <t>Esito audit</t>
  </si>
  <si>
    <t>Stato operativo</t>
  </si>
  <si>
    <t>Priorità</t>
  </si>
  <si>
    <t>Tipo intervento</t>
  </si>
  <si>
    <t>Azione consigliata</t>
  </si>
  <si>
    <t>Responsabile suggerito</t>
  </si>
  <si>
    <t>Evidenza / fonte</t>
  </si>
  <si>
    <t>Note</t>
  </si>
  <si>
    <t>Tasto “Rifiuta tutti” nel cookie banner</t>
  </si>
  <si>
    <t>Presente e funzionante; il rifiuto imposta lo stato “Tutti rifiutati”.</t>
  </si>
  <si>
    <t>Risolto</t>
  </si>
  <si>
    <t>Bassa</t>
  </si>
  <si>
    <t>Nessuno</t>
  </si>
  <si>
    <t>Nessuna modifica. Conservare il pulsante nelle future revisioni del banner.</t>
  </si>
  <si>
    <t>Sviluppo</t>
  </si>
  <si>
    <t>https://www.cleway.com/</t>
  </si>
  <si>
    <t>Possibile falso positivo o scansione iubenda precedente.</t>
  </si>
  <si>
    <t>Riapertura delle preferenze cookie</t>
  </si>
  <si>
    <t>Il link permanente nel footer apre la pagina completa delle preferenze e mostra lo stato salvato.</t>
  </si>
  <si>
    <t>Nessuna modifica. Mantenere il link “Preferenze Cookie” nel footer.</t>
  </si>
  <si>
    <t>https://www.cleway.com/cookie-preferences</t>
  </si>
  <si>
    <t>Verificato dopo aver selezionato “Rifiuta tutti”.</t>
  </si>
  <si>
    <t>Registro delle preferenze di consenso</t>
  </si>
  <si>
    <t>Scelta e timestamp sono salvati soltanto nel localStorage del browser; non risulta un registro server-side.</t>
  </si>
  <si>
    <t>Alta</t>
  </si>
  <si>
    <t>Configurazione / integrazione</t>
  </si>
  <si>
    <t>Attivare il Consent Database iubenda o un equivalente registro server-side con versione policy, categorie e timestamp.</t>
  </si>
  <si>
    <t>Privacy + Sviluppo</t>
  </si>
  <si>
    <t>shared/lib/use-cookie-consent.tsx — righe 109-131</t>
  </si>
  <si>
    <t>Preferibile usare il servizio iubenda già collegato, evitando un registro custom.</t>
  </si>
  <si>
    <t>Privacy Policy: reCAPTCHA / hCaptcha</t>
  </si>
  <si>
    <t>La Privacy Policy cita Google reCAPTCHA, ma il modulo pubblico usa hCaptcha.</t>
  </si>
  <si>
    <t>Testo policy</t>
  </si>
  <si>
    <t>Sostituire i riferimenti a Google reCAPTCHA con hCaptcha e Intuition Machines, includendo finalità, base giuridica e trasferimenti.</t>
  </si>
  <si>
    <t>Privacy / Legale</t>
  </si>
  <si>
    <t>https://www.cleway.com/privacy-policy | shared/components/blocks/contactform.tsx — righe 217-220</t>
  </si>
  <si>
    <t>La Cookie Policy cita già hCaptcha.</t>
  </si>
  <si>
    <t>Privacy Policy: servizi e destinatari</t>
  </si>
  <si>
    <t>Il sito usa Microsoft 365 SMTP e carica immagini da Sanity CDN; hosting/CDN e altri fornitori effettivi vanno inventariati.</t>
  </si>
  <si>
    <t>Aggiungere i fornitori realmente attivi: Microsoft 365, Sanity CDN/CMS e hosting. Includere Resend o YouTube solo se usati sul sito pubblico.</t>
  </si>
  <si>
    <t>app/api/contactform/route.ts — righe 21-33 | https://cdn.sanity.io/</t>
  </si>
  <si>
    <t>Confermare anche ruolo privacy, localizzazione e tempi di conservazione di ogni fornitore.</t>
  </si>
  <si>
    <t>Cookie Policy: elenco e titolare</t>
  </si>
  <si>
    <t>La policy non fornisce un inventario granulare completo e indica iFortech SRL, mentre la Privacy Policy indica Cleway SRL.</t>
  </si>
  <si>
    <t>Allineare titolare/gestore; documentare cookie e tracker con provider, finalità, durata e categoria. Verificare se ift_session_id esiste ancora.</t>
  </si>
  <si>
    <t>https://www.cleway.com/cookie-policy</t>
  </si>
  <si>
    <t>Rimuovere dalla policy cookie non più utilizzati.</t>
  </si>
  <si>
    <t>Consenso marketing nel modulo di contatto</t>
  </si>
  <si>
    <t>La Privacy Policy parla di consenso marketing esplicito, ma nel modulo non è presente una checkbox marketing separata.</t>
  </si>
  <si>
    <t>Testo / codice</t>
  </si>
  <si>
    <t>Se non viene fatto marketing, eliminare la finalità dalla policy. Se viene fatto, aggiungere una checkbox facoltativa, non preselezionata e tracciata.</t>
  </si>
  <si>
    <t>https://www.cleway.com/ | https://www.cleway.com/privacy-policy</t>
  </si>
  <si>
    <t>La presa visione della privacy non equivale al consenso marketing.</t>
  </si>
  <si>
    <t>Termini e Condizioni</t>
  </si>
  <si>
    <t>Non risultano acquisti online, abbonamenti, account o pubblicità sul sito.</t>
  </si>
  <si>
    <t>Non necessario</t>
  </si>
  <si>
    <t>Valutazione legale</t>
  </si>
  <si>
    <t>Non introdurli ora. Rivalutare quando il sito venderà corsi/servizi online o creerà account utente.</t>
  </si>
  <si>
    <t>Direzione / Legale</t>
  </si>
  <si>
    <t>Le condizioni contrattuali B2B possono restare nel processo commerciale offline.</t>
  </si>
  <si>
    <t>Accessibility Widget</t>
  </si>
  <si>
    <t>Nessun widget di accessibilità è visibile sul sito.</t>
  </si>
  <si>
    <t>Da valutare</t>
  </si>
  <si>
    <t>Media</t>
  </si>
  <si>
    <t>Accessibilità / codice</t>
  </si>
  <si>
    <t>Eseguire prima un audit WCAG e correggere i problemi reali. Valutare un widget solo come supporto, non come sostituto delle correzioni.</t>
  </si>
  <si>
    <t>Sviluppo + UX</t>
  </si>
  <si>
    <t>https://www.cleway.com/ | https://commission.europa.eu/strategy-and-policy/policies/justice-and-fundamental-rights/disability/european-accessibility-act-eaa_en</t>
  </si>
  <si>
    <t>Il sito non appare attualmente un e-commerce.</t>
  </si>
  <si>
    <t>Contrasto del testo</t>
  </si>
  <si>
    <t>La criticità non è stata riprodotta: il rapporto più basso misurato sul testo statico è circa 6,71:1.</t>
  </si>
  <si>
    <t>Da verificare</t>
  </si>
  <si>
    <t>Test / accessibilità</t>
  </si>
  <si>
    <t>Ripetere un audit WCAG completo ai breakpoint mobile e desktop dopo ogni cambio grafico; nessuna correzione colore urgente rilevata.</t>
  </si>
  <si>
    <t>https://www.w3.org/TR/WCAG22/#contrast-minimum</t>
  </si>
  <si>
    <t>Soglia WCAG AA: 4,5:1 per testo normale e 3:1 per testo grande.</t>
  </si>
  <si>
    <t>Link footer “About”</t>
  </si>
  <si>
    <t>Il link /about restituisce una pagina 404.</t>
  </si>
  <si>
    <t>Codice / contenuto</t>
  </si>
  <si>
    <t>Correggere l'URL del link oppure pubblicare la pagina About.</t>
  </si>
  <si>
    <t>Sviluppo / Contenuti</t>
  </si>
  <si>
    <t>https://www.cleway.com/about</t>
  </si>
  <si>
    <t>Problema extra rilevato durante l'audit.</t>
  </si>
  <si>
    <t>Link verso dominio di staging</t>
  </si>
  <si>
    <t>Tre schede servizi puntano ancora a cleway-brand.vercel.app invece del dominio cleway.com.</t>
  </si>
  <si>
    <t>Testo / CMS</t>
  </si>
  <si>
    <t>Aggiornare i tre collegamenti nel CMS verso le rispettive pagine sul dominio principale.</t>
  </si>
  <si>
    <t>Contenuti / CMS</t>
  </si>
  <si>
    <t>https://cleway-brand.vercel.app/</t>
  </si>
  <si>
    <t>Riguarda Compliance &amp; Governance e le due aree Formazione.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</si>
</sst>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8"/>
      <color rgb="FFFFFFFF"/>
      <name val="Carlito"/>
    </font>
    <font>
      <i/>
      <sz val="10"/>
      <color rgb="FF24444C"/>
      <name val="Carlito"/>
    </font>
    <font>
      <b/>
      <sz val="11"/>
      <color rgb="FFFFFFFF"/>
      <name val="Carlito"/>
    </font>
    <font>
      <b/>
      <sz val="15"/>
      <color rgb="FF070C0E"/>
      <name val="Carlito"/>
    </font>
    <font>
      <sz val="11"/>
      <name val="Carlito"/>
    </font>
  </fonts>
  <fills count="7">
    <fill>
      <patternFill patternType="none"/>
    </fill>
    <fill>
      <patternFill patternType="gray125"/>
    </fill>
    <fill>
      <patternFill patternType="solid">
        <fgColor rgb="FF070C0E"/>
      </patternFill>
    </fill>
    <fill>
      <patternFill patternType="solid">
        <fgColor rgb="FFEAF6F9"/>
      </patternFill>
    </fill>
    <fill>
      <patternFill patternType="solid">
        <fgColor rgb="FF2C5963"/>
      </patternFill>
    </fill>
    <fill>
      <patternFill patternType="solid">
        <fgColor rgb="FFF3F8F9"/>
      </patternFill>
    </fill>
    <fill>
      <patternFill patternType="solid">
        <fgColor rgb="FF0B7B95"/>
      </patternFill>
    </fill>
  </fills>
  <borders count="7">
    <border>
      <left/>
      <right/>
      <top/>
      <bottom/>
      <diagonal/>
    </border>
    <border>
      <left style="thin">
        <color rgb="FFB8CDD2"/>
      </left>
      <right/>
      <top style="thin">
        <color rgb="FFB8CDD2"/>
      </top>
      <bottom style="thin">
        <color rgb="FFB8CDD2"/>
      </bottom>
      <diagonal/>
    </border>
    <border>
      <left/>
      <right/>
      <top style="thin">
        <color rgb="FFB8CDD2"/>
      </top>
      <bottom style="thin">
        <color rgb="FFB8CDD2"/>
      </bottom>
      <diagonal/>
    </border>
    <border>
      <left/>
      <right style="thin">
        <color rgb="FFB8CDD2"/>
      </right>
      <top style="thin">
        <color rgb="FFB8CDD2"/>
      </top>
      <bottom style="thin">
        <color rgb="FFB8CDD2"/>
      </bottom>
      <diagonal/>
    </border>
    <border>
      <left/>
      <right/>
      <top/>
      <bottom style="thin">
        <color rgb="FFD7E3E6"/>
      </bottom>
      <diagonal/>
    </border>
    <border>
      <left/>
      <right/>
      <top style="thin">
        <color rgb="FFD7E3E6"/>
      </top>
      <bottom style="thin">
        <color rgb="FFD7E3E6"/>
      </bottom>
      <diagonal/>
    </border>
    <border>
      <left/>
      <right/>
      <top style="thin">
        <color rgb="FFD7E3E6"/>
      </top>
      <bottom/>
      <diagonal/>
    </border>
  </borders>
  <cellStyleXfs count="2">
    <xf numFmtId="0" fontId="0" fillId="0" borderId="0"/>
    <xf numFmtId="0" fontId="5" fillId="0" borderId="0"/>
  </cellStyleXfs>
  <cellXfs count="14">
    <xf numFmtId="0" fontId="0" fillId="0" borderId="0" xfId="0"/>
    <xf numFmtId="0" fontId="3" fillId="4" borderId="0" xfId="1" applyFont="1" applyFill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4" fillId="5" borderId="2" xfId="1" applyFont="1" applyFill="1" applyBorder="1" applyAlignment="1">
      <alignment horizontal="center"/>
    </xf>
    <xf numFmtId="0" fontId="4" fillId="5" borderId="3" xfId="1" applyFont="1" applyFill="1" applyBorder="1" applyAlignment="1">
      <alignment horizontal="center"/>
    </xf>
    <xf numFmtId="0" fontId="3" fillId="6" borderId="0" xfId="1" applyFont="1" applyFill="1" applyAlignment="1">
      <alignment vertical="center" wrapText="1"/>
    </xf>
    <xf numFmtId="0" fontId="0" fillId="0" borderId="4" xfId="1" applyFont="1" applyBorder="1" applyAlignment="1">
      <alignment vertical="top" wrapText="1"/>
    </xf>
    <xf numFmtId="0" fontId="0" fillId="0" borderId="5" xfId="1" applyFont="1" applyBorder="1" applyAlignment="1">
      <alignment vertical="top" wrapText="1"/>
    </xf>
    <xf numFmtId="0" fontId="0" fillId="0" borderId="6" xfId="1" applyFont="1" applyBorder="1" applyAlignment="1">
      <alignment vertical="top" wrapText="1"/>
    </xf>
    <xf numFmtId="0" fontId="0" fillId="0" borderId="4" xfId="1" applyFont="1" applyBorder="1" applyAlignment="1">
      <alignment horizontal="center" vertical="top" wrapText="1"/>
    </xf>
    <xf numFmtId="0" fontId="0" fillId="0" borderId="5" xfId="1" applyFont="1" applyBorder="1" applyAlignment="1">
      <alignment horizontal="center" vertical="top" wrapText="1"/>
    </xf>
    <xf numFmtId="0" fontId="0" fillId="0" borderId="6" xfId="1" applyFont="1" applyBorder="1" applyAlignment="1">
      <alignment horizontal="center" vertical="top" wrapText="1"/>
    </xf>
    <xf numFmtId="0" fontId="1" fillId="2" borderId="0" xfId="1" applyFont="1" applyFill="1" applyAlignment="1">
      <alignment vertical="center"/>
    </xf>
    <xf numFmtId="0" fontId="2" fillId="3" borderId="0" xfId="1" applyFont="1" applyFill="1" applyAlignment="1">
      <alignment vertical="center"/>
    </xf>
  </cellXfs>
  <cellStyles count="2">
    <cellStyle name="Normal" xfId="1" xr:uid="{00000000-0005-0000-0000-000000000000}"/>
    <cellStyle name="Normale" xfId="0" builtinId="0"/>
  </cellStyles>
  <dxfs count="5">
    <dxf>
      <font>
        <b/>
        <color rgb="FF236B3B"/>
      </font>
      <fill>
        <patternFill patternType="solid">
          <bgColor rgb="FFE6F4EA"/>
        </patternFill>
      </fill>
    </dxf>
    <dxf>
      <font>
        <b/>
        <color rgb="FF7A4D00"/>
      </font>
      <fill>
        <patternFill patternType="solid">
          <bgColor rgb="FFFFF3CD"/>
        </patternFill>
      </fill>
    </dxf>
    <dxf>
      <font>
        <b/>
        <color rgb="FFA61B1B"/>
      </font>
      <fill>
        <patternFill patternType="solid">
          <bgColor rgb="FFFDE8E7"/>
        </patternFill>
      </fill>
    </dxf>
    <dxf>
      <font>
        <color rgb="FF236B3B"/>
      </font>
      <fill>
        <patternFill patternType="solid">
          <bgColor rgb="FFE6F4EA"/>
        </patternFill>
      </fill>
    </dxf>
    <dxf>
      <font>
        <color rgb="FFA61B1B"/>
      </font>
      <fill>
        <patternFill patternType="solid">
          <bgColor rgb="FFFDE8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uditOperativoTable" displayName="AuditOperativoTable" ref="A6:J18" totalsRowShown="0">
  <autoFilter ref="A6:J18" xr:uid="{00000000-0009-0000-0100-000001000000}"/>
  <tableColumns count="10">
    <tableColumn id="1" xr3:uid="{00000000-0010-0000-0000-000001000000}" name="ID"/>
    <tableColumn id="2" xr3:uid="{00000000-0010-0000-0000-000002000000}" name="Punto / rilievo"/>
    <tableColumn id="3" xr3:uid="{00000000-0010-0000-0000-000003000000}" name="Esito audit"/>
    <tableColumn id="4" xr3:uid="{00000000-0010-0000-0000-000004000000}" name="Stato operativo"/>
    <tableColumn id="5" xr3:uid="{00000000-0010-0000-0000-000005000000}" name="Priorità"/>
    <tableColumn id="6" xr3:uid="{00000000-0010-0000-0000-000006000000}" name="Tipo intervento"/>
    <tableColumn id="7" xr3:uid="{00000000-0010-0000-0000-000007000000}" name="Azione consigliata"/>
    <tableColumn id="8" xr3:uid="{00000000-0010-0000-0000-000008000000}" name="Responsabile suggerito"/>
    <tableColumn id="9" xr3:uid="{00000000-0010-0000-0000-000009000000}" name="Evidenza / fonte"/>
    <tableColumn id="10" xr3:uid="{00000000-0010-0000-0000-00000A000000}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showGridLines="0" tabSelected="1" topLeftCell="A10" workbookViewId="0">
      <selection activeCell="H15" sqref="H15"/>
    </sheetView>
  </sheetViews>
  <sheetFormatPr baseColWidth="10" defaultColWidth="8.83203125" defaultRowHeight="15"/>
  <cols>
    <col min="1" max="1" width="6" customWidth="1"/>
    <col min="2" max="2" width="31" customWidth="1"/>
    <col min="3" max="3" width="34" customWidth="1"/>
    <col min="4" max="4" width="18" customWidth="1"/>
    <col min="5" max="5" width="12" customWidth="1"/>
    <col min="6" max="6" width="22" customWidth="1"/>
    <col min="7" max="7" width="46" customWidth="1"/>
    <col min="8" max="8" width="22" customWidth="1"/>
    <col min="9" max="9" width="47" customWidth="1"/>
    <col min="10" max="10" width="34" customWidth="1"/>
  </cols>
  <sheetData>
    <row r="1" spans="1:10" ht="34" customHeight="1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24" customHeight="1">
      <c r="A2" s="13" t="s">
        <v>1</v>
      </c>
      <c r="B2" s="13"/>
      <c r="C2" s="13"/>
      <c r="D2" s="13"/>
      <c r="E2" s="13"/>
      <c r="F2" s="13"/>
      <c r="G2" s="13"/>
      <c r="H2" s="13"/>
      <c r="I2" s="13"/>
      <c r="J2" s="13"/>
    </row>
    <row r="3" spans="1:10" ht="24" customHeight="1">
      <c r="A3" s="1" t="s">
        <v>2</v>
      </c>
      <c r="B3" s="1" t="s">
        <v>3</v>
      </c>
      <c r="C3" s="1" t="s">
        <v>4</v>
      </c>
      <c r="D3" s="1" t="s">
        <v>5</v>
      </c>
    </row>
    <row r="4" spans="1:10" ht="24" customHeight="1">
      <c r="A4" s="2">
        <f>COUNTA(A7:A18)</f>
        <v>12</v>
      </c>
      <c r="B4" s="3">
        <f>COUNTIF(E7:E18,"Alta")</f>
        <v>5</v>
      </c>
      <c r="C4" s="3">
        <f>COUNTIF(D7:D18,"Da fare")</f>
        <v>7</v>
      </c>
      <c r="D4" s="4">
        <f>COUNTIF(D7:D18,"Risolto")</f>
        <v>2</v>
      </c>
    </row>
    <row r="6" spans="1:10" ht="34" customHeight="1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  <c r="G6" s="5" t="s">
        <v>12</v>
      </c>
      <c r="H6" s="5" t="s">
        <v>13</v>
      </c>
      <c r="I6" s="5" t="s">
        <v>14</v>
      </c>
      <c r="J6" s="5" t="s">
        <v>15</v>
      </c>
    </row>
    <row r="7" spans="1:10" ht="66" customHeight="1">
      <c r="A7" s="9">
        <v>1</v>
      </c>
      <c r="B7" s="6" t="s">
        <v>16</v>
      </c>
      <c r="C7" s="6" t="s">
        <v>17</v>
      </c>
      <c r="D7" s="9" t="s">
        <v>18</v>
      </c>
      <c r="E7" s="9" t="s">
        <v>19</v>
      </c>
      <c r="F7" s="9" t="s">
        <v>20</v>
      </c>
      <c r="G7" s="6" t="s">
        <v>21</v>
      </c>
      <c r="H7" s="6" t="s">
        <v>22</v>
      </c>
      <c r="I7" s="6" t="s">
        <v>23</v>
      </c>
      <c r="J7" s="6" t="s">
        <v>24</v>
      </c>
    </row>
    <row r="8" spans="1:10" ht="66" customHeight="1">
      <c r="A8" s="10">
        <v>2</v>
      </c>
      <c r="B8" s="7" t="s">
        <v>25</v>
      </c>
      <c r="C8" s="7" t="s">
        <v>26</v>
      </c>
      <c r="D8" s="10" t="s">
        <v>18</v>
      </c>
      <c r="E8" s="10" t="s">
        <v>19</v>
      </c>
      <c r="F8" s="10" t="s">
        <v>20</v>
      </c>
      <c r="G8" s="7" t="s">
        <v>27</v>
      </c>
      <c r="H8" s="7" t="s">
        <v>22</v>
      </c>
      <c r="I8" s="7" t="s">
        <v>28</v>
      </c>
      <c r="J8" s="7" t="s">
        <v>29</v>
      </c>
    </row>
    <row r="9" spans="1:10" ht="66" customHeight="1">
      <c r="A9" s="10">
        <v>3</v>
      </c>
      <c r="B9" s="7" t="s">
        <v>30</v>
      </c>
      <c r="C9" s="7" t="s">
        <v>31</v>
      </c>
      <c r="D9" s="10" t="s">
        <v>4</v>
      </c>
      <c r="E9" s="10" t="s">
        <v>32</v>
      </c>
      <c r="F9" s="10" t="s">
        <v>33</v>
      </c>
      <c r="G9" s="7" t="s">
        <v>34</v>
      </c>
      <c r="H9" s="7" t="s">
        <v>35</v>
      </c>
      <c r="I9" s="7" t="s">
        <v>36</v>
      </c>
      <c r="J9" s="7" t="s">
        <v>37</v>
      </c>
    </row>
    <row r="10" spans="1:10" ht="66" customHeight="1">
      <c r="A10" s="10">
        <v>4</v>
      </c>
      <c r="B10" s="7" t="s">
        <v>38</v>
      </c>
      <c r="C10" s="7" t="s">
        <v>39</v>
      </c>
      <c r="D10" s="10" t="s">
        <v>4</v>
      </c>
      <c r="E10" s="10" t="s">
        <v>32</v>
      </c>
      <c r="F10" s="10" t="s">
        <v>40</v>
      </c>
      <c r="G10" s="7" t="s">
        <v>41</v>
      </c>
      <c r="H10" s="7" t="s">
        <v>42</v>
      </c>
      <c r="I10" s="7" t="s">
        <v>43</v>
      </c>
      <c r="J10" s="7" t="s">
        <v>44</v>
      </c>
    </row>
    <row r="11" spans="1:10" ht="66" customHeight="1">
      <c r="A11" s="10">
        <v>5</v>
      </c>
      <c r="B11" s="7" t="s">
        <v>45</v>
      </c>
      <c r="C11" s="7" t="s">
        <v>46</v>
      </c>
      <c r="D11" s="10" t="s">
        <v>4</v>
      </c>
      <c r="E11" s="10" t="s">
        <v>32</v>
      </c>
      <c r="F11" s="10" t="s">
        <v>40</v>
      </c>
      <c r="G11" s="7" t="s">
        <v>47</v>
      </c>
      <c r="H11" s="7" t="s">
        <v>42</v>
      </c>
      <c r="I11" s="7" t="s">
        <v>48</v>
      </c>
      <c r="J11" s="7" t="s">
        <v>49</v>
      </c>
    </row>
    <row r="12" spans="1:10" ht="66" customHeight="1">
      <c r="A12" s="10">
        <v>6</v>
      </c>
      <c r="B12" s="7" t="s">
        <v>50</v>
      </c>
      <c r="C12" s="7" t="s">
        <v>51</v>
      </c>
      <c r="D12" s="10" t="s">
        <v>4</v>
      </c>
      <c r="E12" s="10" t="s">
        <v>32</v>
      </c>
      <c r="F12" s="10" t="s">
        <v>40</v>
      </c>
      <c r="G12" s="7" t="s">
        <v>52</v>
      </c>
      <c r="H12" s="7" t="s">
        <v>42</v>
      </c>
      <c r="I12" s="7" t="s">
        <v>53</v>
      </c>
      <c r="J12" s="7" t="s">
        <v>54</v>
      </c>
    </row>
    <row r="13" spans="1:10" ht="66" customHeight="1">
      <c r="A13" s="10">
        <v>7</v>
      </c>
      <c r="B13" s="7" t="s">
        <v>55</v>
      </c>
      <c r="C13" s="7" t="s">
        <v>56</v>
      </c>
      <c r="D13" s="10" t="s">
        <v>4</v>
      </c>
      <c r="E13" s="10" t="s">
        <v>32</v>
      </c>
      <c r="F13" s="10" t="s">
        <v>57</v>
      </c>
      <c r="G13" s="7" t="s">
        <v>58</v>
      </c>
      <c r="H13" s="7" t="s">
        <v>35</v>
      </c>
      <c r="I13" s="7" t="s">
        <v>59</v>
      </c>
      <c r="J13" s="7" t="s">
        <v>60</v>
      </c>
    </row>
    <row r="14" spans="1:10" ht="66" customHeight="1">
      <c r="A14" s="10">
        <v>8</v>
      </c>
      <c r="B14" s="7" t="s">
        <v>61</v>
      </c>
      <c r="C14" s="7" t="s">
        <v>62</v>
      </c>
      <c r="D14" s="10" t="s">
        <v>63</v>
      </c>
      <c r="E14" s="10" t="s">
        <v>19</v>
      </c>
      <c r="F14" s="10" t="s">
        <v>64</v>
      </c>
      <c r="G14" s="7" t="s">
        <v>65</v>
      </c>
      <c r="H14" s="7" t="s">
        <v>66</v>
      </c>
      <c r="I14" s="7" t="s">
        <v>23</v>
      </c>
      <c r="J14" s="7" t="s">
        <v>67</v>
      </c>
    </row>
    <row r="15" spans="1:10" ht="66" customHeight="1">
      <c r="A15" s="10">
        <v>9</v>
      </c>
      <c r="B15" s="7" t="s">
        <v>68</v>
      </c>
      <c r="C15" s="7" t="s">
        <v>69</v>
      </c>
      <c r="D15" s="10" t="s">
        <v>70</v>
      </c>
      <c r="E15" s="10" t="s">
        <v>71</v>
      </c>
      <c r="F15" s="10" t="s">
        <v>72</v>
      </c>
      <c r="G15" s="7" t="s">
        <v>73</v>
      </c>
      <c r="H15" s="7" t="s">
        <v>74</v>
      </c>
      <c r="I15" s="7" t="s">
        <v>75</v>
      </c>
      <c r="J15" s="7" t="s">
        <v>76</v>
      </c>
    </row>
    <row r="16" spans="1:10" ht="66" customHeight="1">
      <c r="A16" s="10">
        <v>10</v>
      </c>
      <c r="B16" s="7" t="s">
        <v>77</v>
      </c>
      <c r="C16" s="7" t="s">
        <v>78</v>
      </c>
      <c r="D16" s="10" t="s">
        <v>79</v>
      </c>
      <c r="E16" s="10" t="s">
        <v>19</v>
      </c>
      <c r="F16" s="10" t="s">
        <v>80</v>
      </c>
      <c r="G16" s="7" t="s">
        <v>81</v>
      </c>
      <c r="H16" s="7" t="s">
        <v>74</v>
      </c>
      <c r="I16" s="7" t="s">
        <v>82</v>
      </c>
      <c r="J16" s="7" t="s">
        <v>83</v>
      </c>
    </row>
    <row r="17" spans="1:10" ht="66" customHeight="1">
      <c r="A17" s="10">
        <v>11</v>
      </c>
      <c r="B17" s="7" t="s">
        <v>84</v>
      </c>
      <c r="C17" s="7" t="s">
        <v>85</v>
      </c>
      <c r="D17" s="10" t="s">
        <v>4</v>
      </c>
      <c r="E17" s="10" t="s">
        <v>71</v>
      </c>
      <c r="F17" s="10" t="s">
        <v>86</v>
      </c>
      <c r="G17" s="7" t="s">
        <v>87</v>
      </c>
      <c r="H17" s="7" t="s">
        <v>88</v>
      </c>
      <c r="I17" s="7" t="s">
        <v>89</v>
      </c>
      <c r="J17" s="7" t="s">
        <v>90</v>
      </c>
    </row>
    <row r="18" spans="1:10" ht="66" customHeight="1">
      <c r="A18" s="11">
        <v>12</v>
      </c>
      <c r="B18" s="8" t="s">
        <v>91</v>
      </c>
      <c r="C18" s="8" t="s">
        <v>92</v>
      </c>
      <c r="D18" s="11" t="s">
        <v>4</v>
      </c>
      <c r="E18" s="11" t="s">
        <v>71</v>
      </c>
      <c r="F18" s="11" t="s">
        <v>93</v>
      </c>
      <c r="G18" s="8" t="s">
        <v>94</v>
      </c>
      <c r="H18" s="8" t="s">
        <v>95</v>
      </c>
      <c r="I18" s="8" t="s">
        <v>96</v>
      </c>
      <c r="J18" s="8" t="s">
        <v>97</v>
      </c>
    </row>
  </sheetData>
  <mergeCells count="2">
    <mergeCell ref="A1:J1"/>
    <mergeCell ref="A2:J2"/>
  </mergeCells>
  <conditionalFormatting sqref="D7:D18">
    <cfRule type="containsText" dxfId="4" priority="4" operator="containsText" text="Da fare"/>
    <cfRule type="containsText" dxfId="3" priority="5" operator="containsText" text="Risolto"/>
  </conditionalFormatting>
  <conditionalFormatting sqref="E7:E18">
    <cfRule type="containsText" dxfId="2" priority="1" operator="containsText" text="Alta"/>
    <cfRule type="containsText" dxfId="1" priority="2" operator="containsText" text="Media"/>
    <cfRule type="containsText" dxfId="0" priority="3" operator="containsText" text="Bassa"/>
  </conditionalFormatting>
  <dataValidations count="2">
    <dataValidation type="list" sqref="D7:D18" xr:uid="{00000000-0002-0000-0000-000000000000}">
      <formula1>"Da fare,Da valutare,Da verificare,Risolto,Non necessario"</formula1>
    </dataValidation>
    <dataValidation type="list" sqref="E7:E18" xr:uid="{00000000-0002-0000-0000-000001000000}">
      <formula1>"Alta,Media,Bassa"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Audit operativo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Claudio Perroni - iFortech</cp:lastModifiedBy>
  <dcterms:modified xsi:type="dcterms:W3CDTF">2026-09-01T14:00:13Z</dcterms:modified>
</cp:coreProperties>
</file>